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7760" windowHeight="12880"/>
  </bookViews>
  <sheets>
    <sheet sheetId="3" name="Smart Home Charges" state="visible" r:id="rId4"/>
  </sheets>
  <definedNames>
    <definedName name="_xlnm.Print_Area" localSheetId="0">'Smart Home Charges'!$A1:$F46</definedName>
  </definedNames>
  <calcPr calcId="171027"/>
</workbook>
</file>

<file path=xl/sharedStrings.xml><?xml version="1.0" encoding="utf-8"?>
<sst xmlns="http://schemas.openxmlformats.org/spreadsheetml/2006/main" count="42" uniqueCount="40">
  <si>
    <t>MAXSEN SMART HOME</t>
  </si>
  <si>
    <t>Company Reg. No. 202433824M</t>
  </si>
  <si>
    <t>9004 Tampines St 93, #2-122</t>
  </si>
  <si>
    <t>Singapore 528838</t>
  </si>
  <si>
    <t>(+65) 89881882</t>
  </si>
  <si>
    <t>Email: hexiang@maxsen.sg</t>
  </si>
  <si>
    <t>Website: http://www.maxsen.sg</t>
  </si>
  <si>
    <t>DATE</t>
  </si>
  <si>
    <t>INVOICE #</t>
  </si>
  <si>
    <t>TO:</t>
  </si>
  <si>
    <t>Phone:</t>
  </si>
  <si>
    <t>Name:</t>
  </si>
  <si>
    <t>S/N</t>
  </si>
  <si>
    <t>ITEM/DESCRIPTION</t>
  </si>
  <si>
    <t>QUANTITY</t>
  </si>
  <si>
    <t>UNIT PRICE (S$)</t>
  </si>
  <si>
    <t>PRICE (S$)</t>
  </si>
  <si>
    <r>
      <rPr>
        <b/>
        <charset val="134"/>
        <color rgb="FFFFC000"/>
        <sz val="11"/>
        <rFont val="Trebuchet MS"/>
      </rPr>
      <t>Nova Package</t>
    </r>
    <r>
      <rPr>
        <b/>
        <charset val="134"/>
        <color theme="1"/>
        <sz val="11"/>
        <rFont val="Trebuchet MS"/>
      </rPr>
      <t xml:space="preserve">
10</t>
    </r>
    <r>
      <rPr>
        <b/>
        <charset val="134"/>
        <color rgb="FF0043C1"/>
        <sz val="11"/>
        <rFont val="Trebuchet MS"/>
      </rPr>
      <t xml:space="preserve"> x Nova Smart Series Switches </t>
    </r>
    <r>
      <rPr>
        <b/>
        <charset val="134"/>
        <color theme="1"/>
        <sz val="11"/>
        <rFont val="Trebuchet MS"/>
      </rPr>
      <t xml:space="preserve">
4 x IR/RF Blasters
1 x Ultra Gateway
On-Site Wiring Liaison with Your Electrician
Electrical &amp; Network Planning
Smart Home Integration
Hands-On Usage Tutorial
App Integration of Add-On Devices
</t>
    </r>
    <r>
      <rPr>
        <b/>
        <charset val="134"/>
        <color rgb="FF00B050"/>
        <sz val="11"/>
        <rFont val="Trebuchet MS"/>
      </rPr>
      <t>With Installation &amp; Integration</t>
    </r>
    <r>
      <rPr>
        <b/>
        <charset val="134"/>
        <color theme="1"/>
        <sz val="11"/>
        <rFont val="Trebuchet MS"/>
      </rPr>
      <t xml:space="preserve">
</t>
    </r>
    <r>
      <rPr>
        <b/>
        <charset val="134"/>
        <color rgb="FFFF0000"/>
        <sz val="11"/>
        <rFont val="Trebuchet MS"/>
      </rPr>
      <t>Package Discounted to $1990 from $2690</t>
    </r>
  </si>
  <si>
    <t>Lighting</t>
  </si>
  <si>
    <r>
      <rPr>
        <b/>
        <charset val="134"/>
        <color theme="1"/>
        <sz val="11"/>
        <rFont val="Trebuchet MS"/>
      </rPr>
      <t xml:space="preserve">Luna Premier Light Package of </t>
    </r>
    <r>
      <rPr>
        <b/>
        <charset val="134"/>
        <color rgb="FFC00000"/>
        <sz val="11"/>
        <rFont val="Trebuchet MS"/>
      </rPr>
      <t>12 Downlights Sets</t>
    </r>
    <r>
      <rPr>
        <b/>
        <charset val="134"/>
        <color theme="1"/>
        <sz val="11"/>
        <rFont val="Trebuchet MS"/>
      </rPr>
      <t xml:space="preserve"> 
with 1 Nova+ Smart Portable Dimmer/Switch
(Total 24 Selection of Smart Heat Sink Luna Downlights/Surface Lights/Tracklights)</t>
    </r>
  </si>
  <si>
    <t>Add On Per Luna Smart Light Selection (Was $118 Per Light Discounted to $78 with Package Price)</t>
  </si>
  <si>
    <t>Integration of Per Smart Lighting</t>
  </si>
  <si>
    <t>Integration Waived</t>
  </si>
  <si>
    <r>
      <rPr>
        <b/>
        <charset val="134"/>
        <color theme="1"/>
        <sz val="11"/>
        <rFont val="Trebuchet MS"/>
      </rPr>
      <t xml:space="preserve">Luna Cove LED Package of </t>
    </r>
    <r>
      <rPr>
        <b/>
        <charset val="134"/>
        <color rgb="FFC00000"/>
        <sz val="11"/>
        <rFont val="Trebuchet MS"/>
      </rPr>
      <t>30 Meters , 6 Driver + Smart Controller</t>
    </r>
    <r>
      <rPr>
        <b/>
        <charset val="134"/>
        <color theme="1"/>
        <sz val="11"/>
        <rFont val="Trebuchet MS"/>
      </rPr>
      <t xml:space="preserve"> Set with 1 Nova+ Smart Portable Dimmer/Switch
(Total 60Meters, 12 Drivers + Smart Controller)</t>
    </r>
  </si>
  <si>
    <t>Add-On Per Smart Control + Driver Set</t>
  </si>
  <si>
    <t>Add-On Per 1 Meter of Smart Lumi LED COB Strip</t>
  </si>
  <si>
    <t>Temperature Sensor H5</t>
  </si>
  <si>
    <t xml:space="preserve">Nova+ Presence Sensor </t>
  </si>
  <si>
    <t>Customised Smart Zigbee Curtain Track Package for 3 Rooms. (Living, Master + 1 Room) with Installation</t>
  </si>
  <si>
    <t>Free Gift: S8 Control Panel for Spending above $6800.</t>
  </si>
  <si>
    <t>Immediate Rebate for S8 Control Panel</t>
  </si>
  <si>
    <t>Integration of 10 Additional External Devices (Add On $15 Per Device)</t>
  </si>
  <si>
    <t>2 Years On-Site Warranty for All Devices Stated in the Invoice.</t>
  </si>
  <si>
    <t>Smart Home + Installation Total Price</t>
  </si>
  <si>
    <t>[42]</t>
  </si>
  <si>
    <t>GRANT TOTAL (S$)</t>
  </si>
  <si>
    <t>DEPOSIT REQUEST (S$)</t>
  </si>
  <si>
    <t>DETAILS</t>
  </si>
  <si>
    <t xml:space="preserve">Delivery Terms: The services/items will commence after receiving 60% deposit.
Payment Terms: Next, 30% to be paid on the starting date of installation of the proposed devices in the above statement. Last, 10% to be paid before the integration of all stated smart home devices into the smartlife application. Grant Total in the final invoice is subjected to changes made during the Installation process. </t>
  </si>
  <si>
    <t xml:space="preserve">Bank details as follow:
  - Beneficiary: Maxsen Smart Home Pte. Ltd.
  - Bank: Oversea-Chinese Banking Corporation (OCBC)
  - UEN.: 202433824M
We accept both cheque payment, bank transfer, PayNow. If you have any questions about this invoice, please contact Cheang He Xiang, 89881882, hexiang@maxsen.sg.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</si>
</sst>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(#,##0.00);_(* &quot;-&quot;??_);_(@_)"/>
    <numFmt numFmtId="165" formatCode="_-* #,##0.00_-;-* #,##0.00_-;_-* &quot;-&quot;??_-;_-@_-"/>
  </numFmts>
  <fonts count="24" x14ac:knownFonts="1">
    <font>
      <color theme="1"/>
      <family val="2"/>
      <scheme val="minor"/>
      <sz val="11"/>
      <name val="Calibri"/>
    </font>
    <font>
      <charset val="134"/>
      <sz val="10"/>
      <name val="Arial"/>
    </font>
    <font>
      <charset val="134"/>
      <color theme="1"/>
      <sz val="16"/>
      <name val="Trebuchet MS"/>
    </font>
    <font>
      <charset val="134"/>
      <sz val="10"/>
      <name val="Trebuchet MS"/>
    </font>
    <font>
      <charset val="134"/>
      <color rgb="FF0043C1"/>
      <sz val="24"/>
      <name val="Trebuchet MS"/>
    </font>
    <font>
      <b/>
      <charset val="134"/>
      <color rgb="FF0043C1"/>
      <sz val="9"/>
      <name val="Arial"/>
    </font>
    <font>
      <charset val="134"/>
      <color rgb="FF0043C1"/>
      <sz val="9"/>
      <name val="Arial"/>
    </font>
    <font>
      <b/>
      <charset val="134"/>
      <color theme="1"/>
      <sz val="22"/>
      <name val="Trebuchet MS"/>
    </font>
    <font>
      <charset val="134"/>
      <color theme="4"/>
      <sz val="10"/>
      <name val="Arial"/>
    </font>
    <font>
      <b/>
      <charset val="134"/>
      <color theme="3"/>
      <sz val="9"/>
      <name val="Arial"/>
    </font>
    <font>
      <b/>
      <charset val="134"/>
      <color theme="1"/>
      <sz val="11"/>
      <name val="Trebuchet MS"/>
    </font>
    <font>
      <u/>
      <charset val="134"/>
      <color rgb="FF3464AB"/>
      <sz val="10"/>
      <name val="Arial"/>
    </font>
    <font>
      <b/>
      <charset val="134"/>
      <sz val="10"/>
      <name val="Trebuchet MS"/>
    </font>
    <font>
      <charset val="134"/>
      <color theme="3"/>
      <sz val="11"/>
      <name val="Arial"/>
    </font>
    <font>
      <b/>
      <charset val="134"/>
      <sz val="11"/>
      <name val="Trebuchet MS"/>
    </font>
    <font>
      <b/>
      <charset val="134"/>
      <color rgb="FFFFC000"/>
      <sz val="11"/>
      <name val="Trebuchet MS"/>
    </font>
    <font>
      <b/>
      <charset val="134"/>
      <color theme="5"/>
      <sz val="11"/>
      <name val="Trebuchet MS"/>
    </font>
    <font>
      <b/>
      <charset val="134"/>
      <color theme="6" tint="-0.25"/>
      <sz val="11"/>
      <name val="Trebuchet MS"/>
    </font>
    <font>
      <charset val="134"/>
      <color theme="1"/>
      <sz val="10"/>
      <name val="Trebuchet MS"/>
    </font>
    <font>
      <charset val="134"/>
      <color theme="1"/>
      <sz val="10"/>
      <name val="Arial"/>
    </font>
    <font>
      <b/>
      <charset val="134"/>
      <color rgb="FF0043C1"/>
      <sz val="11"/>
      <name val="Trebuchet MS"/>
    </font>
    <font>
      <charset val="134"/>
      <color indexed="9"/>
      <sz val="1"/>
      <name val="Trebuchet MS"/>
    </font>
    <font>
      <b/>
      <charset val="134"/>
      <color rgb="FF0043C1"/>
      <sz val="10"/>
      <name val="Trebuchet MS"/>
    </font>
    <font>
      <b/>
      <charset val="134"/>
      <color theme="1"/>
      <sz val="10"/>
      <name val="Trebuchet MS"/>
    </font>
  </fonts>
  <fills count="5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inden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inden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/>
    <xf numFmtId="0" fontId="3" fillId="0" borderId="0" xfId="0" applyFont="1" applyAlignment="1">
      <alignment horizontal="right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 applyProtection="1">
      <alignment horizontal="center"/>
      <protection locked="0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horizontal="left" indent="1"/>
    </xf>
    <xf numFmtId="0" fontId="3" fillId="3" borderId="0" xfId="0" applyFont="1" applyFill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3" fillId="0" borderId="0" xfId="0" applyFont="1"/>
    <xf numFmtId="0" fontId="13" fillId="0" borderId="0" xfId="0" applyFont="1"/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164" fontId="3" fillId="0" borderId="8" xfId="0" applyNumberFormat="1" applyFont="1" applyBorder="1" applyAlignment="1">
      <alignment vertical="center"/>
    </xf>
    <xf numFmtId="165" fontId="1" fillId="0" borderId="0" xfId="0" applyNumberFormat="1" applyFont="1"/>
    <xf numFmtId="0" fontId="16" fillId="3" borderId="3" xfId="0" applyFont="1" applyFill="1" applyBorder="1" applyAlignment="1">
      <alignment horizontal="center" wrapText="1"/>
    </xf>
    <xf numFmtId="0" fontId="16" fillId="3" borderId="6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  <xf numFmtId="0" fontId="17" fillId="3" borderId="3" xfId="0" applyFont="1" applyFill="1" applyBorder="1" applyAlignment="1">
      <alignment horizontal="center" wrapText="1"/>
    </xf>
    <xf numFmtId="0" fontId="17" fillId="3" borderId="6" xfId="0" applyFont="1" applyFill="1" applyBorder="1" applyAlignment="1">
      <alignment horizontal="center" wrapText="1"/>
    </xf>
    <xf numFmtId="0" fontId="18" fillId="0" borderId="0" xfId="0" applyFont="1"/>
    <xf numFmtId="164" fontId="18" fillId="0" borderId="8" xfId="0" applyNumberFormat="1" applyFont="1" applyBorder="1" applyAlignment="1">
      <alignment vertical="center"/>
    </xf>
    <xf numFmtId="0" fontId="19" fillId="0" borderId="0" xfId="0" applyFont="1"/>
    <xf numFmtId="164" fontId="3" fillId="0" borderId="9" xfId="0" applyNumberFormat="1" applyFont="1" applyBorder="1" applyAlignment="1">
      <alignment vertical="center"/>
    </xf>
    <xf numFmtId="0" fontId="20" fillId="3" borderId="3" xfId="0" applyFont="1" applyFill="1" applyBorder="1" applyAlignment="1">
      <alignment horizontal="center" wrapText="1"/>
    </xf>
    <xf numFmtId="0" fontId="20" fillId="3" borderId="6" xfId="0" applyFont="1" applyFill="1" applyBorder="1" applyAlignment="1">
      <alignment horizontal="center" wrapText="1"/>
    </xf>
    <xf numFmtId="0" fontId="14" fillId="3" borderId="7" xfId="0" applyFont="1" applyFill="1" applyBorder="1"/>
    <xf numFmtId="0" fontId="14" fillId="3" borderId="6" xfId="0" applyFont="1" applyFill="1" applyBorder="1" applyAlignment="1">
      <alignment horizontal="center"/>
    </xf>
    <xf numFmtId="164" fontId="14" fillId="3" borderId="9" xfId="0" applyNumberFormat="1" applyFont="1" applyFill="1" applyBorder="1"/>
    <xf numFmtId="0" fontId="16" fillId="3" borderId="6" xfId="0" applyFont="1" applyFill="1" applyBorder="1" applyAlignment="1">
      <alignment horizontal="center"/>
    </xf>
    <xf numFmtId="0" fontId="14" fillId="3" borderId="10" xfId="0" applyFont="1" applyFill="1" applyBorder="1"/>
    <xf numFmtId="0" fontId="3" fillId="0" borderId="11" xfId="0" applyFont="1" applyBorder="1" applyAlignment="1">
      <alignment horizontal="left" indent="1"/>
    </xf>
    <xf numFmtId="0" fontId="2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164" fontId="3" fillId="0" borderId="0" xfId="0" applyNumberFormat="1" applyFont="1"/>
    <xf numFmtId="0" fontId="3" fillId="0" borderId="0" xfId="0" applyFont="1" applyAlignment="1" applyProtection="1">
      <alignment vertical="top" wrapText="1"/>
      <protection locked="0"/>
    </xf>
    <xf numFmtId="0" fontId="22" fillId="0" borderId="0" xfId="0" applyFont="1" applyAlignment="1">
      <alignment horizontal="left"/>
    </xf>
    <xf numFmtId="164" fontId="12" fillId="4" borderId="0" xfId="0" applyNumberFormat="1" applyFont="1" applyFill="1"/>
    <xf numFmtId="0" fontId="23" fillId="0" borderId="12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0" fontId="23" fillId="2" borderId="13" xfId="0" applyFont="1" applyFill="1" applyBorder="1" applyAlignment="1">
      <alignment horizontal="left"/>
    </xf>
    <xf numFmtId="0" fontId="23" fillId="2" borderId="11" xfId="0" applyFont="1" applyFill="1" applyBorder="1" applyAlignment="1">
      <alignment horizontal="left"/>
    </xf>
    <xf numFmtId="0" fontId="23" fillId="2" borderId="5" xfId="0" applyFont="1" applyFill="1" applyBorder="1" applyAlignment="1">
      <alignment horizontal="left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top" wrapText="1"/>
      <protection locked="0"/>
    </xf>
    <xf numFmtId="0" fontId="3" fillId="0" borderId="15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 indent="1"/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3"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workbookViewId="0" showGridLines="0" zoomScale="70" zoomScaleNormal="70">
      <selection activeCell="C44" sqref="C44"/>
    </sheetView>
  </sheetViews>
  <sheetFormatPr defaultRowHeight="15.2" outlineLevelRow="0" outlineLevelCol="0" x14ac:dyDescent="0" defaultColWidth="10.1442307692308" customHeight="1"/>
  <cols>
    <col min="1" max="1" width="10.2884615384615" customWidth="1"/>
    <col min="2" max="2" width="27.5673076923077" customWidth="1"/>
    <col min="3" max="3" width="47" customWidth="1"/>
    <col min="4" max="4" width="12.7115384615385" customWidth="1"/>
    <col min="5" max="5" width="20.7115384615385" customWidth="1"/>
    <col min="6" max="6" width="18.5673076923077" customWidth="1"/>
    <col min="7" max="7" width="5.28846153846154" customWidth="1"/>
    <col min="8" max="8" width="7" customWidth="1"/>
    <col min="9" max="9" width="32.8557692307692" style="1" customWidth="1"/>
  </cols>
  <sheetData>
    <row r="1" ht="33.6" customHeight="1" spans="1:2" x14ac:dyDescent="0.25">
      <c r="A1" s="2" t="s">
        <v>0</v>
      </c>
      <c r="B1" s="2"/>
    </row>
    <row r="2" ht="15" customHeight="1" spans="1:9" x14ac:dyDescent="0.25">
      <c r="A2" s="3" t="s">
        <v>1</v>
      </c>
      <c r="B2" s="3"/>
      <c r="C2" s="4"/>
      <c r="I2" s="5"/>
    </row>
    <row r="3" ht="12.4" customHeight="1" spans="1:9" x14ac:dyDescent="0.25">
      <c r="A3" s="3" t="s">
        <v>2</v>
      </c>
      <c r="B3" s="3"/>
      <c r="C3" s="3"/>
      <c r="D3" s="6"/>
      <c r="I3" s="7"/>
    </row>
    <row r="4" ht="15" customHeight="1" spans="1:9" x14ac:dyDescent="0.25">
      <c r="A4" s="3" t="s">
        <v>3</v>
      </c>
      <c r="B4" s="3"/>
      <c r="C4" s="3"/>
      <c r="E4" s="8"/>
      <c r="F4" s="8"/>
      <c r="I4" s="7"/>
    </row>
    <row r="5" ht="13.5" customHeight="1" spans="1:6" x14ac:dyDescent="0.25">
      <c r="A5" s="3" t="s">
        <v>4</v>
      </c>
      <c r="B5" s="3"/>
      <c r="C5" s="6"/>
      <c r="D5" s="6"/>
      <c r="E5" s="8"/>
      <c r="F5" s="8"/>
    </row>
    <row r="6" ht="13.5" customHeight="1" spans="1:9" x14ac:dyDescent="0.25">
      <c r="A6" s="3" t="s">
        <v>5</v>
      </c>
      <c r="B6" s="3"/>
      <c r="C6" s="6"/>
      <c r="D6" s="6"/>
      <c r="E6" s="8"/>
      <c r="F6" s="8"/>
      <c r="I6" s="9"/>
    </row>
    <row r="7" spans="1:9" x14ac:dyDescent="0.25">
      <c r="A7" s="3" t="s">
        <v>6</v>
      </c>
      <c r="B7" s="3"/>
      <c r="C7" s="6"/>
      <c r="D7" s="6"/>
      <c r="E7" s="10" t="s">
        <v>7</v>
      </c>
      <c r="F7" s="11">
        <f>TODAY()</f>
        <v>46297</v>
      </c>
      <c r="I7" s="9"/>
    </row>
    <row r="8" spans="2:9" x14ac:dyDescent="0.25">
      <c r="B8" s="6"/>
      <c r="C8" s="6"/>
      <c r="D8" s="6"/>
      <c r="E8" s="10" t="s">
        <v>8</v>
      </c>
      <c r="F8" s="12"/>
      <c r="I8" s="13"/>
    </row>
    <row r="9" ht="16.8" customHeight="1" spans="1:9" x14ac:dyDescent="0.25">
      <c r="A9" s="14" t="s">
        <v>9</v>
      </c>
      <c r="B9" s="14"/>
      <c r="C9" s="6"/>
      <c r="D9" s="6"/>
      <c r="E9" s="10"/>
      <c r="F9" s="15"/>
      <c r="I9" s="16"/>
    </row>
    <row r="10" spans="1:9" x14ac:dyDescent="0.25">
      <c r="A10" s="3" t="s">
        <v>10</v>
      </c>
      <c r="B10" s="6"/>
      <c r="C10" s="6"/>
      <c r="D10" s="6"/>
      <c r="E10" s="17"/>
      <c r="I10" s="9"/>
    </row>
    <row r="11" ht="16.8" customHeight="1" spans="1:9" x14ac:dyDescent="0.25">
      <c r="A11" s="3" t="s">
        <v>11</v>
      </c>
      <c r="B11" s="6"/>
      <c r="C11" s="6"/>
      <c r="D11" s="6"/>
      <c r="E11" s="17"/>
      <c r="F11" s="18"/>
      <c r="I11" s="19"/>
    </row>
    <row r="12" ht="16.8" customHeight="1" spans="1:9" x14ac:dyDescent="0.25">
      <c r="A12" s="3"/>
      <c r="B12" s="6"/>
      <c r="C12" s="6"/>
      <c r="D12" s="6"/>
      <c r="E12" s="17"/>
      <c r="F12" s="18"/>
      <c r="I12" s="19"/>
    </row>
    <row r="13" spans="1:4" x14ac:dyDescent="0.25">
      <c r="A13" s="6"/>
      <c r="B13" s="6"/>
      <c r="C13" s="6"/>
      <c r="D13" s="6"/>
    </row>
    <row r="14" ht="24.75" customHeight="1" spans="1:6" x14ac:dyDescent="0.25">
      <c r="A14" s="20" t="s">
        <v>12</v>
      </c>
      <c r="B14" s="21" t="s">
        <v>13</v>
      </c>
      <c r="C14" s="21"/>
      <c r="D14" s="21" t="s">
        <v>14</v>
      </c>
      <c r="E14" s="21" t="s">
        <v>15</v>
      </c>
      <c r="F14" s="22" t="s">
        <v>16</v>
      </c>
    </row>
    <row r="15" ht="213.75" customHeight="1" spans="1:9" x14ac:dyDescent="0.25">
      <c r="A15" s="23">
        <v>1</v>
      </c>
      <c r="B15" s="24" t="s">
        <v>17</v>
      </c>
      <c r="C15" s="25"/>
      <c r="D15" s="26">
        <v>1</v>
      </c>
      <c r="E15" s="27">
        <v>1990</v>
      </c>
      <c r="F15" s="28">
        <f>D15*E15</f>
        <v>1990</v>
      </c>
      <c r="I15" s="29"/>
    </row>
    <row r="16" ht="45.75" customHeight="1" spans="1:6" x14ac:dyDescent="0.25">
      <c r="A16" s="23"/>
      <c r="B16" s="30" t="s">
        <v>18</v>
      </c>
      <c r="C16" s="31"/>
      <c r="D16" s="26"/>
      <c r="E16" s="27"/>
      <c r="F16" s="28"/>
    </row>
    <row r="17" ht="72" customHeight="1" spans="1:6" x14ac:dyDescent="0.25">
      <c r="A17" s="23">
        <v>2</v>
      </c>
      <c r="B17" s="32" t="s">
        <v>19</v>
      </c>
      <c r="C17" s="25"/>
      <c r="D17" s="26">
        <v>2</v>
      </c>
      <c r="E17" s="27">
        <v>988</v>
      </c>
      <c r="F17" s="28">
        <f t="shared" ref="F17:F30" si="0">D17*E17</f>
        <v>1976</v>
      </c>
    </row>
    <row r="18" ht="35.25" customHeight="1" spans="1:6" x14ac:dyDescent="0.25">
      <c r="A18" s="23">
        <v>3</v>
      </c>
      <c r="B18" s="32" t="s">
        <v>20</v>
      </c>
      <c r="C18" s="25"/>
      <c r="D18" s="26">
        <v>0</v>
      </c>
      <c r="E18" s="27">
        <v>78</v>
      </c>
      <c r="F18" s="28">
        <f t="shared" si="0"/>
        <v>0</v>
      </c>
    </row>
    <row r="19" ht="35.25" customHeight="1" spans="1:6" x14ac:dyDescent="0.25">
      <c r="A19" s="23">
        <v>4</v>
      </c>
      <c r="B19" s="33" t="s">
        <v>21</v>
      </c>
      <c r="C19" s="34"/>
      <c r="D19" s="26">
        <v>24</v>
      </c>
      <c r="E19" s="27">
        <v>12</v>
      </c>
      <c r="F19" s="28">
        <f t="shared" si="0"/>
        <v>288</v>
      </c>
    </row>
    <row r="20" ht="35.25" customHeight="1" spans="1:6" x14ac:dyDescent="0.25">
      <c r="A20" s="23">
        <v>5</v>
      </c>
      <c r="B20" s="33" t="s">
        <v>22</v>
      </c>
      <c r="C20" s="34"/>
      <c r="D20" s="26">
        <v>24</v>
      </c>
      <c r="E20" s="27">
        <v>-12</v>
      </c>
      <c r="F20" s="28">
        <f t="shared" si="0"/>
        <v>-288</v>
      </c>
    </row>
    <row r="21" ht="62" customHeight="1" spans="1:6" x14ac:dyDescent="0.25">
      <c r="A21" s="23">
        <v>6</v>
      </c>
      <c r="B21" s="32" t="s">
        <v>23</v>
      </c>
      <c r="C21" s="25"/>
      <c r="D21" s="26">
        <v>2</v>
      </c>
      <c r="E21" s="27">
        <v>988</v>
      </c>
      <c r="F21" s="28">
        <f t="shared" si="0"/>
        <v>1976</v>
      </c>
    </row>
    <row r="22" ht="30" customHeight="1" spans="1:6" x14ac:dyDescent="0.25">
      <c r="A22" s="23">
        <v>7</v>
      </c>
      <c r="B22" s="32" t="s">
        <v>24</v>
      </c>
      <c r="C22" s="25"/>
      <c r="D22" s="26">
        <v>0</v>
      </c>
      <c r="E22" s="27">
        <v>82</v>
      </c>
      <c r="F22" s="28">
        <f t="shared" si="0"/>
        <v>0</v>
      </c>
    </row>
    <row r="23" ht="30" customHeight="1" spans="1:6" x14ac:dyDescent="0.25">
      <c r="A23" s="23">
        <v>8</v>
      </c>
      <c r="B23" s="32" t="s">
        <v>25</v>
      </c>
      <c r="C23" s="25"/>
      <c r="D23" s="26">
        <v>0</v>
      </c>
      <c r="E23" s="27">
        <v>16</v>
      </c>
      <c r="F23" s="28">
        <f t="shared" si="0"/>
        <v>0</v>
      </c>
    </row>
    <row r="24" ht="35.25" customHeight="1" spans="1:9" x14ac:dyDescent="0.25">
      <c r="A24" s="23">
        <v>9</v>
      </c>
      <c r="B24" s="33" t="s">
        <v>21</v>
      </c>
      <c r="C24" s="34"/>
      <c r="D24" s="26">
        <v>12</v>
      </c>
      <c r="E24" s="27">
        <v>12</v>
      </c>
      <c r="F24" s="28">
        <f t="shared" si="0"/>
        <v>144</v>
      </c>
      <c r="I24" s="1"/>
    </row>
    <row r="25" ht="35.25" customHeight="1" spans="1:9" x14ac:dyDescent="0.25">
      <c r="A25" s="23">
        <v>10</v>
      </c>
      <c r="B25" s="33" t="s">
        <v>22</v>
      </c>
      <c r="C25" s="34"/>
      <c r="D25" s="26">
        <v>12</v>
      </c>
      <c r="E25" s="27">
        <v>-12</v>
      </c>
      <c r="F25" s="28">
        <f t="shared" si="0"/>
        <v>-144</v>
      </c>
      <c r="I25" s="1"/>
    </row>
    <row r="26" ht="35.25" customHeight="1" spans="1:9" s="35" customFormat="1" x14ac:dyDescent="0.25">
      <c r="A26" s="23">
        <v>11</v>
      </c>
      <c r="B26" s="32" t="s">
        <v>26</v>
      </c>
      <c r="C26" s="25"/>
      <c r="D26" s="26">
        <v>3</v>
      </c>
      <c r="E26" s="27">
        <v>48</v>
      </c>
      <c r="F26" s="36">
        <f t="shared" si="0"/>
        <v>144</v>
      </c>
      <c r="I26" s="37"/>
    </row>
    <row r="27" ht="35.25" customHeight="1" spans="1:9" s="35" customFormat="1" x14ac:dyDescent="0.25">
      <c r="A27" s="23">
        <v>12</v>
      </c>
      <c r="B27" s="32" t="s">
        <v>27</v>
      </c>
      <c r="C27" s="25"/>
      <c r="D27" s="26">
        <v>4</v>
      </c>
      <c r="E27" s="27">
        <v>110</v>
      </c>
      <c r="F27" s="36">
        <f t="shared" si="0"/>
        <v>440</v>
      </c>
      <c r="I27" s="37"/>
    </row>
    <row r="28" ht="35.25" customHeight="1" spans="1:9" s="35" customFormat="1" x14ac:dyDescent="0.25">
      <c r="A28" s="23">
        <v>13</v>
      </c>
      <c r="B28" s="32" t="s">
        <v>28</v>
      </c>
      <c r="C28" s="25"/>
      <c r="D28" s="26">
        <v>1</v>
      </c>
      <c r="E28" s="27">
        <v>1199</v>
      </c>
      <c r="F28" s="36">
        <f t="shared" si="0"/>
        <v>1199</v>
      </c>
      <c r="I28" s="37"/>
    </row>
    <row r="29" ht="35.25" customHeight="1" spans="1:9" x14ac:dyDescent="0.25">
      <c r="A29" s="23">
        <v>14</v>
      </c>
      <c r="B29" s="30" t="s">
        <v>29</v>
      </c>
      <c r="C29" s="31"/>
      <c r="D29" s="26">
        <v>1</v>
      </c>
      <c r="E29" s="27">
        <v>680</v>
      </c>
      <c r="F29" s="28">
        <f t="shared" si="0"/>
        <v>680</v>
      </c>
      <c r="I29" s="1"/>
    </row>
    <row r="30" ht="35.25" customHeight="1" spans="1:9" x14ac:dyDescent="0.25">
      <c r="A30" s="23">
        <v>15</v>
      </c>
      <c r="B30" s="30" t="s">
        <v>30</v>
      </c>
      <c r="C30" s="31"/>
      <c r="D30" s="26">
        <v>1</v>
      </c>
      <c r="E30" s="27">
        <v>-680</v>
      </c>
      <c r="F30" s="28">
        <f t="shared" si="0"/>
        <v>-680</v>
      </c>
      <c r="I30" s="1"/>
    </row>
    <row r="31" ht="35.25" customHeight="1" spans="1:9" x14ac:dyDescent="0.25">
      <c r="A31" s="23"/>
      <c r="B31" s="30" t="s">
        <v>31</v>
      </c>
      <c r="C31" s="31"/>
      <c r="D31" s="26"/>
      <c r="E31" s="27"/>
      <c r="F31" s="38"/>
      <c r="I31" s="1"/>
    </row>
    <row r="32" ht="35.25" customHeight="1" spans="1:9" x14ac:dyDescent="0.25">
      <c r="A32" s="23"/>
      <c r="B32" s="39" t="s">
        <v>32</v>
      </c>
      <c r="C32" s="40"/>
      <c r="D32" s="26"/>
      <c r="E32" s="27"/>
      <c r="F32" s="38"/>
      <c r="I32" s="1"/>
    </row>
    <row r="33" ht="26" customHeight="1" spans="1:6" x14ac:dyDescent="0.25">
      <c r="A33" s="41"/>
      <c r="B33" s="23" t="s">
        <v>33</v>
      </c>
      <c r="C33" s="42"/>
      <c r="D33" s="41"/>
      <c r="E33" s="41"/>
      <c r="F33" s="43">
        <f>SUM(F15:F28)</f>
        <v>7725</v>
      </c>
    </row>
    <row r="34" ht="23" customHeight="1" spans="1:6" x14ac:dyDescent="0.25">
      <c r="A34" s="41"/>
      <c r="B34" s="30"/>
      <c r="C34" s="44"/>
      <c r="D34" s="41"/>
      <c r="E34" s="41"/>
      <c r="F34" s="45"/>
    </row>
    <row r="35" spans="1:6" x14ac:dyDescent="0.25">
      <c r="A35" s="46"/>
      <c r="B35" s="46"/>
      <c r="C35" s="46"/>
      <c r="D35" s="47" t="s">
        <v>34</v>
      </c>
      <c r="E35" s="48" t="s">
        <v>35</v>
      </c>
      <c r="F35" s="49">
        <f>F33</f>
        <v>7725</v>
      </c>
    </row>
    <row r="36" spans="1:6" x14ac:dyDescent="0.25">
      <c r="A36" s="50"/>
      <c r="B36" s="50"/>
      <c r="C36" s="50"/>
      <c r="D36" s="6"/>
      <c r="E36" s="51" t="s">
        <v>36</v>
      </c>
      <c r="F36" s="52">
        <f>F35/10*6</f>
        <v>4635</v>
      </c>
    </row>
    <row r="37" spans="1:6" x14ac:dyDescent="0.25">
      <c r="A37" s="53"/>
      <c r="B37" s="53"/>
      <c r="C37" s="53"/>
      <c r="D37" s="6"/>
      <c r="E37" s="54"/>
      <c r="F37" s="54"/>
    </row>
    <row r="38" ht="18.75" customHeight="1" spans="1:6" x14ac:dyDescent="0.25">
      <c r="A38" s="55" t="s">
        <v>37</v>
      </c>
      <c r="B38" s="56"/>
      <c r="C38" s="56"/>
      <c r="D38" s="56"/>
      <c r="E38" s="56"/>
      <c r="F38" s="57"/>
    </row>
    <row r="39" ht="50.25" customHeight="1" spans="1:6" x14ac:dyDescent="0.25">
      <c r="A39" s="58" t="s">
        <v>38</v>
      </c>
      <c r="B39" s="59"/>
      <c r="C39" s="59"/>
      <c r="D39" s="59"/>
      <c r="E39" s="59"/>
      <c r="F39" s="60"/>
    </row>
    <row r="40" ht="103.5" customHeight="1" spans="1:6" x14ac:dyDescent="0.25">
      <c r="A40" s="61" t="s">
        <v>39</v>
      </c>
      <c r="B40" s="62"/>
      <c r="C40" s="62"/>
      <c r="D40" s="62"/>
      <c r="E40" s="62"/>
      <c r="F40" s="63"/>
    </row>
    <row r="41" spans="1:6" x14ac:dyDescent="0.25">
      <c r="A41" s="64"/>
      <c r="B41" s="64"/>
      <c r="C41" s="64"/>
      <c r="D41" s="6"/>
      <c r="E41" s="65"/>
      <c r="F41" s="65"/>
    </row>
    <row r="42" spans="1:6" x14ac:dyDescent="0.25">
      <c r="A42" s="54"/>
      <c r="B42" s="54"/>
      <c r="C42" s="64"/>
      <c r="D42" s="6"/>
      <c r="E42" s="54"/>
      <c r="F42" s="54"/>
    </row>
    <row r="43" spans="1:6" x14ac:dyDescent="0.25">
      <c r="A43" s="54"/>
      <c r="B43" s="54"/>
      <c r="C43" s="64"/>
      <c r="D43" s="6"/>
      <c r="E43" s="54"/>
      <c r="F43" s="54"/>
    </row>
    <row r="44" spans="1:6" x14ac:dyDescent="0.25">
      <c r="A44" s="54"/>
      <c r="B44" s="54"/>
      <c r="C44" s="64"/>
      <c r="D44" s="6"/>
      <c r="E44" s="54"/>
      <c r="F44" s="54"/>
    </row>
    <row r="45" spans="1:6" x14ac:dyDescent="0.25">
      <c r="A45" s="65"/>
      <c r="B45" s="65"/>
      <c r="C45" s="64"/>
      <c r="D45" s="6"/>
      <c r="E45" s="54"/>
      <c r="F45" s="54"/>
    </row>
    <row r="46" spans="1:6" x14ac:dyDescent="0.25">
      <c r="A46" s="66"/>
      <c r="B46" s="66"/>
      <c r="C46" s="66"/>
      <c r="D46" s="66"/>
      <c r="E46" s="66"/>
      <c r="F46" s="66"/>
    </row>
  </sheetData>
  <mergeCells count="38">
    <mergeCell ref="A1:B1"/>
    <mergeCell ref="A2:B2"/>
    <mergeCell ref="A3:B3"/>
    <mergeCell ref="A4:B4"/>
    <mergeCell ref="E4:F6"/>
    <mergeCell ref="A5:B5"/>
    <mergeCell ref="A6:B6"/>
    <mergeCell ref="A7:B7"/>
    <mergeCell ref="A9:B9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37:C37"/>
    <mergeCell ref="A38:F38"/>
    <mergeCell ref="A39:F39"/>
    <mergeCell ref="A40:F40"/>
    <mergeCell ref="A43:B43"/>
    <mergeCell ref="A44:B44"/>
    <mergeCell ref="A45:B45"/>
    <mergeCell ref="A46:F46"/>
  </mergeCells>
  <conditionalFormatting sqref="F15:F23">
    <cfRule type="expression" dxfId="0" priority="11">
      <formula>MOD(ROW(),2)=1</formula>
    </cfRule>
  </conditionalFormatting>
  <conditionalFormatting sqref="F24:F32">
    <cfRule type="expression" dxfId="1" priority="7">
      <formula>MOD(ROW(),2)=1</formula>
    </cfRule>
  </conditionalFormatting>
  <conditionalFormatting sqref="F33:F34">
    <cfRule type="expression" dxfId="2" priority="9">
      <formula>MOD(ROW(),2)=1</formula>
    </cfRule>
  </conditionalFormatting>
  <printOptions horizontalCentered="1"/>
  <pageMargins left="0.699305555555556" right="0.699305555555556" top="0.75" bottom="0.75" header="0.3" footer="0.3"/>
  <pageSetup paperSize="9" orientation="portrait" horizontalDpi="4294967295" verticalDpi="4294967295" scale="69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 Home Charges</vt:lpstr>
    </vt:vector>
  </TitlesOfParts>
  <Company>RoPlus Pte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</dc:creator>
  <dc:title>Quotation Template</dc:title>
  <cp:category>Finance</cp:category>
  <cp:lastModifiedBy>Cheang He Xiang</cp:lastModifiedBy>
  <cp:lastPrinted>2026-04-08T23:11:00Z</cp:lastPrinted>
  <cp:revision>1</cp:revision>
  <dcterms:created xsi:type="dcterms:W3CDTF">2004-08-20T14:44:00Z</dcterms:created>
  <dcterms:modified xsi:type="dcterms:W3CDTF">2026-10-02T20:24:34Z</dcterms:modified>
</cp:coreProperties>
</file>